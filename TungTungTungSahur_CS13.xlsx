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LVANH~1\AppData\Local\Temp\"/>
    </mc:Choice>
  </mc:AlternateContent>
  <xr:revisionPtr revIDLastSave="0" documentId="13_ncr:1_{DD0503B8-1F0A-4104-A728-32EEA6621563}" xr6:coauthVersionLast="47" xr6:coauthVersionMax="47" xr10:uidLastSave="{00000000-0000-0000-0000-000000000000}"/>
  <bookViews>
    <workbookView xWindow="-108" yWindow="-108" windowWidth="23256" windowHeight="12456" tabRatio="50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B9" i="8"/>
  <c r="C9" i="8" s="1"/>
  <c r="B8" i="8"/>
  <c r="C8" i="8" s="1"/>
  <c r="B5" i="8"/>
  <c r="C8" i="7"/>
  <c r="D8" i="7" s="1"/>
  <c r="C7" i="7"/>
  <c r="D7" i="7" s="1"/>
  <c r="C6" i="7"/>
  <c r="D6" i="7" s="1"/>
  <c r="C5" i="7"/>
  <c r="D5" i="7" s="1"/>
  <c r="C4" i="7"/>
  <c r="D4" i="7" s="1"/>
  <c r="M8" i="4"/>
  <c r="J8" i="4"/>
  <c r="K8" i="4" s="1"/>
  <c r="L8" i="4" s="1"/>
  <c r="M7" i="4"/>
  <c r="J7" i="4"/>
  <c r="K7" i="4" s="1"/>
  <c r="L7" i="4" s="1"/>
  <c r="M6" i="4"/>
  <c r="J6" i="4"/>
  <c r="K6" i="4" s="1"/>
  <c r="L6" i="4" s="1"/>
  <c r="J5" i="4"/>
  <c r="K5" i="4" s="1"/>
  <c r="L5" i="4" s="1"/>
  <c r="B12" i="8" s="1"/>
  <c r="C12" i="8" s="1"/>
  <c r="O14" i="3"/>
  <c r="M14" i="3"/>
  <c r="N14" i="3" s="1"/>
  <c r="O13" i="3"/>
  <c r="M13" i="3"/>
  <c r="N13" i="3" s="1"/>
  <c r="O12" i="3"/>
  <c r="M12" i="3"/>
  <c r="N12" i="3" s="1"/>
  <c r="O11" i="3"/>
  <c r="M11" i="3"/>
  <c r="O10" i="3"/>
  <c r="M10" i="3"/>
  <c r="O9" i="3"/>
  <c r="M9" i="3"/>
  <c r="O8" i="3"/>
  <c r="M8" i="3"/>
  <c r="O7" i="3"/>
  <c r="M7" i="3"/>
  <c r="O6" i="3"/>
  <c r="M6" i="3"/>
  <c r="O5" i="3"/>
  <c r="M5" i="3"/>
  <c r="N5" i="3" s="1"/>
  <c r="B12" i="2"/>
  <c r="B11" i="8" l="1"/>
  <c r="C11" i="8" s="1"/>
  <c r="B6" i="8"/>
  <c r="C6" i="8" s="1"/>
  <c r="B7" i="8"/>
  <c r="C7" i="8" s="1"/>
  <c r="N6" i="3"/>
  <c r="N11" i="3"/>
  <c r="N10" i="3"/>
  <c r="N9" i="3"/>
  <c r="N8" i="3"/>
  <c r="N7" i="3"/>
  <c r="C5" i="8"/>
</calcChain>
</file>

<file path=xl/sharedStrings.xml><?xml version="1.0" encoding="utf-8"?>
<sst xmlns="http://schemas.openxmlformats.org/spreadsheetml/2006/main" count="310" uniqueCount="294">
  <si>
    <t>CS13 · Lộ trình sản phẩm AI — File thực hành · Đề 2 · ChấmNhanh</t>
  </si>
  <si>
    <t>AI in Action · Track 1 · Khóa 4. FILE LÀM BÀI CỦA NHÓM · Đề 2 · ChấmNhanh.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</si>
  <si>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</si>
  <si>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</si>
  <si>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2.</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</si>
  <si>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</si>
  <si>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</si>
  <si>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</si>
  <si>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</si>
  <si>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</si>
  <si>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</si>
  <si>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2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</si>
  <si>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</si>
  <si>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</si>
  <si>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</si>
  <si>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</si>
  <si>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</si>
  <si>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</si>
  <si>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</si>
  <si>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Có</t>
  </si>
  <si>
    <t>Đã điền sẵn ở trang 2, dòng 12–20: chi phí mỗi việc, biên lợi nhuận, điều kiện dừng</t>
  </si>
  <si>
    <t>Đọc để hiểu; không cần chép</t>
  </si>
  <si>
    <t>Chi phí 769 + 250 đ/bài; 3 phút duyệt × 120.000 đ/giờ; doanh thu 5,21 triệu/trung tâm (đã trừ 20% đối tác); 1.000 bài/trung tâm/tháng; hết tiền tháng 17</t>
  </si>
  <si>
    <t>Bối cảnh, sản phẩm, "1 việc" là gì</t>
  </si>
  <si>
    <t>Giả thuyết và chỉ số ở trang 1</t>
  </si>
  <si>
    <t>Viết giả thuyết theo đúng "1 việc" của đề</t>
  </si>
  <si>
    <t>1 việc = 1 bài viết được chấm 4 tiêu chí và có nhận xét. Tổ chuyên môn chấm ~1.500 bài/tuần</t>
  </si>
  <si>
    <t>6 việc gợi ý</t>
  </si>
  <si>
    <t>Trang 1, cột B–C; nhóm được thêm việc của mình</t>
  </si>
  <si>
    <t>Giữ, bỏ hay đổi thứ tự đều phải ghi lý do ở cột Q</t>
  </si>
  <si>
    <t>Giữ 6 việc; thêm việc 7 (báo cáo độ lệch máy–giáo viên) để kiểm chứng biến nguy hiểm nhất</t>
  </si>
  <si>
    <t>Kết quả đánh giá đã có (bộ đề, cổng phát hành)</t>
  </si>
  <si>
    <t>Cổng đánh giá ở trang 2; việc cần làm trước ở trang 3</t>
  </si>
  <si>
    <t>Đề 2, 3: kết luận chưa phải "Phát hành" → có việc phải làm trước</t>
  </si>
  <si>
    <t>Phát hành CÓ GIỚI HẠN: tầng Khó tụt (1), vùng 5,0–6,5 chuyển giáo viên, cô Lan chấm đôi 2% tuần đầu</t>
  </si>
  <si>
    <t>Chuyên gia và số giờ của họ</t>
  </si>
  <si>
    <t>Dòng "Điều kiện cần" ở trang 3; ô "Cần gì" ở trang 5</t>
  </si>
  <si>
    <t>Dẫn đúng số giờ trong hồ sơ</t>
  </si>
  <si>
    <t>Cô Lan, thầy Khoa: mỗi người 2 giờ/tuần. Một vòng chấm bộ đề 40 bài = 14,2 giờ (~3,5 tuần giờ của cả hai)</t>
  </si>
  <si>
    <t>Gợi ý về người duyệt và mức tự động</t>
  </si>
  <si>
    <t>Trang 2, cột H và I</t>
  </si>
  <si>
    <t>Đề 3: bác sĩ của bệnh viện không tính vào chi phí</t>
  </si>
  <si>
    <t>Người duyệt của mình = giáo viên duyệt bài do công ty trả tiền. Hai giáo viên giỏi chỉ khớp ~70% trong ±0,5 điểm → cổng không đặt cao hơn</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</si>
  <si>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</si>
  <si>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</si>
  <si>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</si>
  <si>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</si>
  <si>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</si>
  <si>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</si>
  <si>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</si>
  <si>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</si>
  <si>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</si>
  <si>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</si>
  <si>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</si>
  <si>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</si>
  <si>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</si>
  <si>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</si>
  <si>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</si>
  <si>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</si>
  <si>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</si>
  <si>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</si>
  <si>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</si>
  <si>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</si>
  <si>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</si>
  <si>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Chấm điểm 4 tiêu chí cho bài viết thường</t>
  </si>
  <si>
    <t>Giáo viên bớt 60% giờ chấm bài thường</t>
  </si>
  <si>
    <t>Ta tin rằng để AI chấm 4 tiêu chí cho bài viết thường (ngoài vùng 5,0–6,5) cho tổ chuyên môn của trung tâm sẽ giúp giáo viên bớt ≥ 60% giờ chấm bài thường mà không tăng khiếu nại</t>
  </si>
  <si>
    <t>Giờ chấm 100 bài thường giảm ≥ 60% so với trước thử nghiệm; ≥ 65% bài lệch ≤ 0,5 điểm so với giáo viên; 0 bài lệch &gt; 1 điểm trên ≥ 300 bài chấm đôi; đo ở ngày 90</t>
  </si>
  <si>
    <t>Tự làm</t>
  </si>
  <si>
    <t>Hạng 3 nhưng là lõi doanh thu (1 việc = 1 bài). Đã qua 3/4 cổng (đạt 82,6%, kappa 0,80) nhưng tầng Khó tụt → làm cùng việc 3 và phải sửa tầng Khó trước khi mở rộng. Dữ liệu điểm học sinh mới bắt đầu thu → J = 0,6</t>
  </si>
  <si>
    <t>Nhận xét có trích câu và gợi ý sửa</t>
  </si>
  <si>
    <t>Học sinh sửa được bài sau</t>
  </si>
  <si>
    <t>Ta tin rằng nhận xét trích đúng câu và gợi ý sửa cụ thể cho học sinh sẽ giúp học sinh tự sửa được lỗi đó ở bài viết sau</t>
  </si>
  <si>
    <t>≥ 50% lỗi đã được nhận xét không lặp lại ở bài kế tiếp (≥ 200 học sinh viết ≥ 2 bài); giáo viên đánh giá ≥ 80% nhận xét trích đúng, dùng được trên mẫu 100 bài</t>
  </si>
  <si>
    <t>Hạng 7 nhưng vẫn Tự làm: nhận xét là một nửa của '1 việc' nên không bỏ được. Để tầng Tiếp theo: chưa có bộ đề đo chất lượng nhận xét (K = 0,3), cần cô Lan đặt tiêu chí trước; phần viết câu chung dễ bị mô hình nền làm thay (L = 0,6)</t>
  </si>
  <si>
    <t>Chuyển bài cho giáo viên đúng lúc</t>
  </si>
  <si>
    <t>Không bài khó nào bị máy chấm sai</t>
  </si>
  <si>
    <t>Ta tin rằng tự chuyển cho giáo viên bài máy chấm trong vùng 5,0–6,5, bài tầng Khó và bài AI không chắc sẽ giúp trung tâm không có bài khó nào bị trả điểm lệch &gt; 1 điểm</t>
  </si>
  <si>
    <t>Chuyển đúng ≥ 95% bài tầng Khó/Nguy hiểm (trên ≥ 200 bài đã gắn nhãn); 0 bài lệch &gt; 1 điểm lọt đến học sinh; tỷ lệ bài phải chuyển ≤ 30% tổng bài</t>
  </si>
  <si>
    <t>Hạng 2: là điều kiện an toàn để việc 1 được chạy (kết luận phát hành có giới hạn). Dựa trên quy trình riêng của trung tâm nên khó bị nuốt (L = 0,1). Tỷ lệ chuyển quyết định chi phí: ≤ 17,7% mới đạt biên 60%</t>
  </si>
  <si>
    <t>Sửa ngữ pháp từng câu</t>
  </si>
  <si>
    <t>Học sinh thấy lỗi ngữ pháp</t>
  </si>
  <si>
    <t>Ta tin rằng hiển thị lỗi ngữ pháp từng câu ngay trong bài cho học sinh sẽ giúp học sinh thấy và tự sửa lỗi ngữ pháp</t>
  </si>
  <si>
    <t>≥ 90% lỗi được đánh dấu đúng trên mẫu 100 bài; ≥ 60% học sinh mở phần sửa lỗi trong 30 ngày</t>
  </si>
  <si>
    <t>Mua</t>
  </si>
  <si>
    <t>Hạng 4 nhưng không tự xây: hồ sơ ghi công cụ sửa ngữ pháp miễn phí đã làm tốt việc sửa từng câu → rủi ro bị nuốt 0,9. Tích hợp công cụ sẵn có nếu chi phí thấp; không đưa vào việc chính</t>
  </si>
  <si>
    <t>Báo cáo tiến bộ cho phụ huynh</t>
  </si>
  <si>
    <t>Phụ huynh gia hạn khoá học</t>
  </si>
  <si>
    <t>Ta tin rằng gửi báo cáo tiến bộ hằng tháng cho phụ huynh sẽ giúp tăng tỷ lệ phụ huynh gia hạn khoá học</t>
  </si>
  <si>
    <t>Tỷ lệ gia hạn của nhóm nhận báo cáo cao hơn nhóm đối chứng ≥ 10 điểm %; ≥ 50% phụ huynh mở báo cáo; chỉ đo khi đã có ≥ 3 tháng dữ liệu điểm</t>
  </si>
  <si>
    <t>Chờ</t>
  </si>
  <si>
    <t>Hạng 6. Chờ: dữ liệu điểm học sinh mới bắt đầu thu, cần ~3 tháng mới đủ báo cáo tiến bộ. Mốc xem lại: ngày 90. Báo cáo dùng điểm máy chỉ khi cổng Mức 1 đã đạt, tránh thêm khiếu nại lệch điểm</t>
  </si>
  <si>
    <t>Tạo đề bài viết theo trình độ</t>
  </si>
  <si>
    <t>Giáo viên bớt giờ soạn đề</t>
  </si>
  <si>
    <t>Ta tin rằng tạo sẵn đề bài viết theo trình độ cho giáo viên sẽ giúp giáo viên bớt giờ soạn đề mỗi tuần</t>
  </si>
  <si>
    <t>Giờ soạn đề mỗi tuần giảm ≥ 50%; ≥ 80% đề được giáo viên dùng mà không phải sửa nhiều</t>
  </si>
  <si>
    <t>Không làm</t>
  </si>
  <si>
    <t>Hạng 5 nhưng bỏ: hồ sơ ghi mô hình miễn phí đã tạo được đề bài viết (L = 0,9); không tạo doanh thu theo '1 việc'; giáo viên tự dùng công cụ miễn phí</t>
  </si>
  <si>
    <t>Báo cáo độ lệch máy–giáo viên hằng tháng cho trung tâm đối tác (việc nhóm thêm)</t>
  </si>
  <si>
    <t>Giữ nhóm 25% trung tâm lớn đang tạo 55% doanh thu</t>
  </si>
  <si>
    <t>Ta tin rằng công bố hằng tháng độ lệch giữa máy và giáo viên (lấy từ chấm đôi) cho trung tâm đối tác lớn sẽ giữ được nhóm trung tâm lớn và giữ doanh thu bình quân ≥ 3,95 triệu/trung tâm</t>
  </si>
  <si>
    <t>100% trung tâm lớn nhận báo cáo tháng; ≥ 65% bài lệch ≤ 0,5 điểm và 0 bài lệch &gt; 1 điểm trên ≥ 300 bài chấm đôi/tháng; 0 khiếu nại lệch điểm trong 90 ngày; doanh thu bình quân sau chia ≥ 3,95 triệu</t>
  </si>
  <si>
    <t>Thêm việc: kiểm chứng biến nguy hiểm nhất (55% doanh thu từ 25% trung tâm lớn). Trung tâm lớn nhất đã đòi bằng chứng độ lệch, phụ huynh khiếu nại 2 lần. Tái dùng dữ liệu chấm đôi nên công sức thấp; hạng 1</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</si>
  <si>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</si>
  <si>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</si>
  <si>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</si>
  <si>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</si>
  <si>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</si>
  <si>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</si>
  <si>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</si>
  <si>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</si>
  <si>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</si>
  <si>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</si>
  <si>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</si>
  <si>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</si>
  <si>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</si>
  <si>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</si>
  <si>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</si>
  <si>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</si>
  <si>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AI đề xuất điểm 4 tiêu chí và nháp nhận xét</t>
  </si>
  <si>
    <t>Giáo viên duyệt của công ty chấm lại/sửa 100% bài trước khi trả. Áp dụng cho bài tầng Khó trong lúc kỹ sư sửa</t>
  </si>
  <si>
    <t>— (mức khởi đầu; giữ cho bài tầng Khó tới khi qua cổng Mức 1)</t>
  </si>
  <si>
    <t>Bộ đề 40 bài 4 tầng; nhật ký điểm máy và điểm giáo viên; báo học sinh/phụ huynh bài có AI hỗ trợ chấm (Luật AI 134/2025/QH15)</t>
  </si>
  <si>
    <t>Đang áp dụng – T1 (bài tầng Khó)</t>
  </si>
  <si>
    <t>Người của mình</t>
  </si>
  <si>
    <t>Hỗ trợ có duyệt</t>
  </si>
  <si>
    <t>AI chấm 4 tiêu chí + nhận xét cho bài thường; tự chuyển giáo viên bài máy chấm 5,0–6,5, bài tầng Khó, bài AI không chắc</t>
  </si>
  <si>
    <t>Giáo viên của công ty chấm bài được chuyển (~25%) + chấm đôi mẫu 5%; tuần đầu cô Lan chấm đôi 2% (~30 bài, 1,5 giờ)</t>
  </si>
  <si>
    <t>Trước khi mở rộng: kỹ sư sửa tầng Khó, chạy lại bộ đề 40 bài: số tầng tụt = 0, đạt quy về thực tế ≥ 80%, 0 bài lệch &gt; 1 điểm, kappa ≥ 0,6; VÀ chấm đôi ≥ 300 bài thật: 0 bài lệch &gt; 1 điểm (lỗi thật &lt; 1%), ≥ 65% bài lệch ≤ 0,5 điểm; cô Lan xác nhận</t>
  </si>
  <si>
    <t>Bổ sung bài tầng Khó vào bộ đề; công cụ chấm đôi + bảng độ lệch; hàng chờ giáo viên; đồng ý của trung tâm/phụ huynh khi xử lý bài học sinh; gắn nhãn nhận xét do AI tạo (NĐ 142/2026, Điều 18)</t>
  </si>
  <si>
    <t>T1–T3</t>
  </si>
  <si>
    <t>Tự động một phần</t>
  </si>
  <si>
    <t>AI tự trả điểm + nhận xét cho bài thường khi chắc chắn; vùng chuyển hẹp lại theo dữ liệu chấm đôi; vẫn tự chuyển bài khó/không chắc</t>
  </si>
  <si>
    <t>Giáo viên chấm bài được chuyển (~10%) + kiểm tra ngẫu nhiên 5%; xử lý khiếu nại phụ huynh trong 48 giờ</t>
  </si>
  <si>
    <t>Chấm đôi ≥ 1.000 bài thật: 0 bài lệch &gt; 1 điểm (lỗi thật &lt; 0,3%); ≥ 65% lệch ≤ 0,5 điểm; chuyển đúng ≥ 95% trên ≥ 200 bài tầng Khó; khiếu nại về điểm ≤ 1/1.000 bài; cô Lan + đại diện trung tâm lớn nhất xác nhận</t>
  </si>
  <si>
    <t>Ước lượng độ chắc chắn của từng điểm; bảng giám sát độ lệch theo tuần; quy trình khiếu nại; bộ đề mở rộng lên ≥ 200 bài</t>
  </si>
  <si>
    <t>T4–T6 (chỉ khi qua cổng)</t>
  </si>
  <si>
    <t>Tự động có giám sát</t>
  </si>
  <si>
    <t>AI chấm và trả bài tự động cho mọi bài trong phạm vi; bài ngoài phạm vi vẫn chuyển người</t>
  </si>
  <si>
    <t>Giáo viên kiểm tra ngẫu nhiên 5%, xử lý khiếu nại và bài ngoài phạm vi; tổ chuyên môn rà soát hằng tháng</t>
  </si>
  <si>
    <t>Chấm đôi ≥ 3.000 bài: 0 bài lệch &gt; 1 điểm (lỗi thật &lt; 0,1%); ≥ 65% lệch ≤ 0,5 điểm; 2 tháng liên tiếp ở Mức 2 khiếu nại ≤ 0,5/1.000 bài; tổ chuyên môn trung tâm + ban lãnh đạo xác nhận</t>
  </si>
  <si>
    <t>Giám sát trôi điểm tự động; chạy lại bộ đề mỗi khi đổi mô hình; lưu vết từng điểm để tra lại; xác định mức rủi ro theo Luật AI (hệ thống đánh giá học sinh)</t>
  </si>
  <si>
    <t>T9+ (khám phá, không cam kết)</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</si>
  <si>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</si>
  <si>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</si>
  <si>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</si>
  <si>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</si>
  <si>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</si>
  <si>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</si>
  <si>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</si>
  <si>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</si>
  <si>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</si>
  <si>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</si>
  <si>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</si>
  <si>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</si>
  <si>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</si>
  <si>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</si>
  <si>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(55% doanh thu đến từ 25% trung tâm lớn)</t>
  </si>
  <si>
    <t>dòng 7</t>
  </si>
  <si>
    <t>Điều kiện dừng đã chọn (theo đề)</t>
  </si>
  <si>
    <t>NẾU doanh thu bình quân sau chia dưới 3,95 triệu/trung tâm trong 2 tháng liên tiếp, trên ít nhất 15 trung tâm, THÌ dừng mở rộng</t>
  </si>
  <si>
    <t>dòng 8</t>
  </si>
  <si>
    <t>Kịch bản xấu hết tiền ở tháng</t>
  </si>
  <si>
    <t>dòng 9</t>
  </si>
  <si>
    <t>Ghi chú: người duyệt của mình là giáo viên duyệt bài do công ty trả tiền. Hai giáo viên giỏi chỉ khớp nhau khoảng 70% trong phạm vi 0,5 điểm: đừng đặt cổng cao hơn mức đó.</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</si>
  <si>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</si>
  <si>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</si>
  <si>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</si>
  <si>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</si>
  <si>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</si>
  <si>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</si>
  <si>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</si>
  <si>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Sửa tầng Khó bị tụt + chấm bài thường (việc 1) + chuyển bài cho giáo viên đúng lúc (việc 3) + báo cáo độ lệch cho trung tâm lớn (việc 7)</t>
  </si>
  <si>
    <t>Mức 2 cho bài thường; nhận xét có trích câu (việc 2); quyết định báo cáo tiến bộ cho phụ huynh (việc 5) khi đủ 3 tháng dữ liệu</t>
  </si>
  <si>
    <t>Xét Mức 3 nếu qua cổng; báo cáo tiến bộ cho phụ huynh nếu ngày 90 cho kết quả tốt. Không làm tạo đề; sửa ngữ pháp dùng công cụ có sẵn</t>
  </si>
  <si>
    <t>Giả thuyết</t>
  </si>
  <si>
    <t>Ta tin rằng AI chấm bài thường, có chuyển giáo viên ở vùng 5,0–6,5, giúp giáo viên bớt ≥ 60% giờ chấm mà trung tâm lớn vẫn tin điểm nhờ bằng chứng độ lệch</t>
  </si>
  <si>
    <t>Ta tin rằng thu hẹp vùng chuyển giáo viên (Mức 2) giữ được chất lượng và đưa biên lợi nhuận lên ≥ 60%</t>
  </si>
  <si>
    <t>Ta tin rằng báo cáo tiến bộ từ điểm đáng tin giúp phụ huynh gia hạn</t>
  </si>
  <si>
    <t>Giờ chấm bài thường giảm ≥ 60%; ≥ 65% bài lệch ≤ 0,5 điểm; 0 bài lệch &gt; 1 điểm trên ≥ 300 bài chấm đôi; chuyển đúng ≥ 95% bài tầng Khó; doanh thu bình quân ≥ 3,95 triệu</t>
  </si>
  <si>
    <t>Tỷ lệ bài có người duyệt ≤ 15%; khiếu nại về điểm ≤ 1/1.000 bài; ≥ 80% nhận xét trích đúng</t>
  </si>
  <si>
    <t>Gia hạn khoá học cao hơn nhóm đối chứng ≥ 10 điểm %</t>
  </si>
  <si>
    <t>Mức tự động (trang 2)</t>
  </si>
  <si>
    <t>Mức 0 cho bài tầng Khó → Mức 1 cho bài thường (30% bài có người duyệt)</t>
  </si>
  <si>
    <t>Mức 2 (15% bài có người duyệt)</t>
  </si>
  <si>
    <t>Mức 3 (5%) chỉ cho bài thường, nếu qua cổng</t>
  </si>
  <si>
    <t>Cổng đánh giá</t>
  </si>
  <si>
    <t>Sau sửa: chạy lại bộ đề 40 bài, tầng tụt = 0, đạt ≥ 80%, 0 bài lệch &gt; 1 điểm; chấm đôi ≥ 300 bài thật: 0 lệch &gt; 1 điểm, ≥ 65% lệch ≤ 0,5 điểm; cô Lan xác nhận</t>
  </si>
  <si>
    <t>Chấm đôi ≥ 1.000 bài: 0 lệch &gt; 1 điểm; chuyển đúng ≥ 95% trên ≥ 200 bài Khó; khiếu nại ≤ 1/1.000</t>
  </si>
  <si>
    <t>≥ 3.000 bài chấm đôi, 0 lệch &gt; 1 điểm; 2 tháng ổn định ở Mức 2</t>
  </si>
  <si>
    <t>Điều kiện cần: dữ liệu / hạ tầng / tuân thủ</t>
  </si>
  <si>
    <t>Bộ đề bổ sung bài tầng Khó; chạy lại bộ đề tốn 14,2 giờ ≈ 3,5 tuần giờ của cô Lan + thầy Khoa (2 giờ/tuần mỗi người) → chỉ chạy lại 1 lần trong T1–T2, chấm đôi hằng ngày do giáo viên của công ty; công cụ chấm đôi + bảng độ lệch; đồng ý của trung tâm/phụ huynh; báo người dùng bài có AI chấm, gắn nhãn nhận xét do AI tạo</t>
  </si>
  <si>
    <t>Ước lượng độ chắc chắn; bảng giám sát độ lệch theo tuần; quy trình khiếu nại; bộ đề ≥ 200 bài</t>
  </si>
  <si>
    <t>Giám sát trôi điểm; xác định mức rủi ro theo Luật AI; lưu vết từng điểm</t>
  </si>
  <si>
    <t>Căn cứ kinh tế (số liệu của đề và trang 2)</t>
  </si>
  <si>
    <t>Doanh thu 5.210 đ/bài (5,21 triệu ÷ 1.000 bài). Mức 0: chi phí 7.019 đ/bài, biên −35% (lỗ). Mức 1: 2.819 đ, biên 46%. Mức 2: 1.919 đ, biên 63%. Biên 60% cần ≤ 17,7% bài có người duyệt. Kịch bản xấu hết tiền tháng 17 → còn thời gian nhưng phải lên Mức 2 trước tháng 7; 300 bài chấm đôi tốn ~1,8 triệu</t>
  </si>
  <si>
    <t>Chỉ mở rộng khi lên Mức 2 (biên 63%) và doanh thu bình quân ≥ 3,95 triệu/trung tâm</t>
  </si>
  <si>
    <t>Mức 3: 1.319 đ/bài, biên 75%; chỉ làm khi tầng Tiếp theo giữ biên ≥ 60%</t>
  </si>
  <si>
    <t>Điều kiện dừng / đổi hướng</t>
  </si>
  <si>
    <t>NẾU vào ngày 90, trên ≥ 15 trung tâm thử nghiệm và ≥ 300 bài chấm đôi, có ≥ 1 bài lệch &gt; 1 điểm lọt đến học sinh hoặc &lt; 60% bài lệch ≤ 0,5 điểm THÌ lùi bài thường về Mức 0 và dừng mở rộng; NẾU doanh thu bình quân sau chia &lt; 3,95 triệu/trung tâm trong 2 tháng liên tiếp THÌ dừng mở rộng</t>
  </si>
  <si>
    <t>NẾU khiếu nại về điểm &gt; 2/1.000 bài trong 1 tháng THÌ lùi về Mức 1</t>
  </si>
  <si>
    <t>NẾU công cụ miễn phí chấm 4 tiêu chí lệch giáo viên ít hơn mình trên bộ đề THÌ bỏ phần chấm, tập trung vào bằng chứng độ lệch và quy trình chuyển giáo viên</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</si>
  <si>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</si>
  <si>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</si>
  <si>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</si>
  <si>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</si>
  <si>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</si>
  <si>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</si>
  <si>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</si>
  <si>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Tầng Khó đã sửa chưa, kết quả chạy lại bộ đề (tầng tụt = 0); số bài lệch &gt; 1 điểm và % bài lệch ≤ 0,5 điểm trong chấm đôi; tỷ lệ bài chuyển giáo viên</t>
  </si>
  <si>
    <t>Đi tiếp / Sửa (giữ bài tầng Khó ở Mức 0)</t>
  </si>
  <si>
    <t>Quản lý sản phẩm + cô Lan (tổ trưởng chuyên môn)</t>
  </si>
  <si>
    <t>Ngày 60</t>
  </si>
  <si>
    <t>Cổng Mức 1: ≥ 300 bài chấm đôi, 0 lệch &gt; 1 điểm, ≥ 65% lệch ≤ 0,5 điểm; giờ chấm bài thường so với trước; số khiếu nại phụ huynh; báo cáo độ lệch đã gửi trung tâm lớn</t>
  </si>
  <si>
    <t>Đi tiếp (mở Mức 1 cho thêm trung tâm) / Sửa (giữ quy mô)</t>
  </si>
  <si>
    <t>Quản lý sản phẩm + trưởng nhóm kỹ thuật + cô Lan</t>
  </si>
  <si>
    <t>Ngày 90</t>
  </si>
  <si>
    <t>Doanh thu bình quân sau chia so với 3,95 triệu (≥ 15 trung tâm, 2 tháng); giờ chấm giảm ≥ 60%; % bài có người duyệt so với 17,7%; trung tâm lớn có tiếp tục hợp đồng</t>
  </si>
  <si>
    <t>Đi tiếp (chuẩn bị cổng Mức 2) / Đổi hướng / Dừng mở rộng</t>
  </si>
  <si>
    <t>Ban lãnh đạo</t>
  </si>
  <si>
    <t>Có mô hình mới / giá gọi AI giảm mạnh</t>
  </si>
  <si>
    <t>Chạy lại bộ đề 40 bài trên mô hình mới, đủ 4 tầng (nhất là tầng Khó); tính lại chi phí gọi AI 769 đ/bài</t>
  </si>
  <si>
    <t>Đổi mô hình chỉ khi tầng tụt = 0 và đạt ≥ 80%; hạ % duyệt hoặc giá nếu chi phí giảm</t>
  </si>
  <si>
    <t>Nền tảng hoặc đối thủ ra tính năng tương tự</t>
  </si>
  <si>
    <t>Việc nào bị 'nuốt' (chấm 4 tiêu chí, nhận xét); độ lệch của công cụ đó so với giáo viên trên bộ đề của mình</t>
  </si>
  <si>
    <t>Bỏ phần bị nuốt, dồn lực vào bằng chứng độ lệch, chuyển giáo viên đúng lúc, tích hợp với trung tâm</t>
  </si>
  <si>
    <t>Quy định pháp lý thay đổi</t>
  </si>
  <si>
    <t>Mức rủi ro của hệ thống chấm điểm học sinh theo Luật Trí tuệ nhân tạo; yêu cầu thông báo, gắn nhãn (NĐ 142/2026, Điều 18); bảo vệ dữ liệu cá nhân của học sinh</t>
  </si>
  <si>
    <t>Thêm thông báo, lưu vết, quyền khiếu nại; lùi mức tự động nếu hệ thống bị xếp rủi ro cao</t>
  </si>
  <si>
    <t>Quản lý sản phẩm + pháp chế</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</si>
  <si>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</si>
  <si>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</si>
  <si>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</si>
  <si>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</si>
  <si>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</si>
  <si>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</si>
  <si>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Trong 3 tháng, sửa lỗi tầng Khó rồi chạy ChấmNhanh Mức 1 cho bài thường tại 15 trung tâm: giáo viên bớt ≥ 60% giờ chấm, 0 bài lệch quá 1 điểm trên ≥ 300 bài chấm đôi; quyết định mở rộng ở ngày 90.</t>
  </si>
  <si>
    <t>3 việc chính</t>
  </si>
  <si>
    <t>Bây giờ: sửa tầng Khó + chấm bài thường có chuyển giáo viên + báo cáo độ lệch cho trung tâm lớn · Tiếp theo: Mức 2 (biên 63%), nhận xét trích câu · Sau này: xét Mức 3, báo cáo phụ huynh nếu đủ dữ liệu</t>
  </si>
  <si>
    <t>Cần gì (người, tiền, dữ liệu)</t>
  </si>
  <si>
    <t>2 kỹ sư + 1 quản lý sản phẩm; giáo viên duyệt của công ty, ~1,8 triệu cho 300 bài chấm đôi; cô Lan, thầy Khoa 2 giờ/tuần mỗi người (chạy lại bộ đề 14,2 giờ); đồng ý dữ liệu của trung tâm</t>
  </si>
  <si>
    <t>Rủi ro lớn nhất &amp; cách xử lý</t>
  </si>
  <si>
    <t>Trung tâm lớn (55% doanh thu) rời đi vì điểm lệch → gửi báo cáo độ lệch từ ngày 30, chuyển bài 5,0–6,5 cho giáo viên. Biên Mức 1 chỉ 46% → lên Mức 2 (biên 63%) trước tháng 7</t>
  </si>
  <si>
    <t>Khi nào xem lại</t>
  </si>
  <si>
    <t>Ngày 30/60/90; ngay khi có 1 bài lệch quá 1 điểm lọt đến học sinh hoặc khiếu nại phụ huynh; khi đổi mô hình hoặc giá gọi AI thay đổi</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</si>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</sst>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164"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164" fontId="5" fillId="2" borderId="0" xfId="0" applyNumberFormat="1" applyFont="1" applyFill="1" applyProtection="1">
      <protection locked="0"/>
    </xf>
    <xf numFmtId="0" fontId="6" fillId="0" borderId="0" xfId="0" applyFont="1"/>
    <xf numFmtId="165"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zoomScaleNormal="100" workbookViewId="0"/>
  </sheetViews>
  <sheetFormatPr defaultColWidth="8.6640625" defaultRowHeight="14.4" x14ac:dyDescent="0.3"/>
  <cols>
    <col min="1" max="1" width="120" customWidth="1"/>
  </cols>
  <sheetData>
    <row r="1" spans="1:1" ht="17.25" customHeight="1" x14ac:dyDescent="0.3">
      <c r="A1" s="1" t="s">
        <v>0</v>
      </c>
    </row>
    <row r="2" spans="1:1" ht="15" customHeight="1" x14ac:dyDescent="0.3">
      <c r="A2" s="2" t="s">
        <v>1</v>
      </c>
    </row>
    <row r="4" spans="1:1" ht="15" customHeight="1" x14ac:dyDescent="0.3">
      <c r="A4" t="s">
        <v>2</v>
      </c>
    </row>
    <row r="5" spans="1:1" ht="15" customHeight="1" x14ac:dyDescent="0.3">
      <c r="A5" t="s">
        <v>3</v>
      </c>
    </row>
    <row r="6" spans="1:1" ht="15" customHeight="1" x14ac:dyDescent="0.3">
      <c r="A6" t="s">
        <v>4</v>
      </c>
    </row>
    <row r="7" spans="1:1" ht="15" customHeight="1" x14ac:dyDescent="0.3">
      <c r="A7" t="s">
        <v>5</v>
      </c>
    </row>
    <row r="8" spans="1:1" ht="15" customHeight="1" x14ac:dyDescent="0.3">
      <c r="A8" t="s">
        <v>6</v>
      </c>
    </row>
    <row r="9" spans="1:1" ht="15" customHeight="1" x14ac:dyDescent="0.3">
      <c r="A9" t="s">
        <v>7</v>
      </c>
    </row>
    <row r="11" spans="1:1" ht="15" customHeight="1" x14ac:dyDescent="0.3">
      <c r="A11" t="s">
        <v>8</v>
      </c>
    </row>
    <row r="12" spans="1:1" ht="15" customHeight="1" x14ac:dyDescent="0.3">
      <c r="A12" s="3" t="s">
        <v>9</v>
      </c>
    </row>
    <row r="13" spans="1:1" ht="15" customHeight="1" x14ac:dyDescent="0.3">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 t="s">
        <v>11</v>
      </c>
    </row>
    <row r="2" spans="1:5" ht="15" customHeight="1" x14ac:dyDescent="0.3">
      <c r="A2" s="2" t="s">
        <v>12</v>
      </c>
    </row>
    <row r="4" spans="1:5" ht="26.25" customHeight="1" x14ac:dyDescent="0.3">
      <c r="A4" s="5" t="s">
        <v>13</v>
      </c>
      <c r="B4" s="5" t="s">
        <v>14</v>
      </c>
      <c r="C4" s="5" t="s">
        <v>15</v>
      </c>
      <c r="D4" s="5" t="s">
        <v>16</v>
      </c>
      <c r="E4" s="5" t="s">
        <v>17</v>
      </c>
    </row>
    <row r="5" spans="1:5" ht="33.75" customHeight="1" x14ac:dyDescent="0.3">
      <c r="A5" s="6" t="s">
        <v>18</v>
      </c>
      <c r="B5" s="7" t="s">
        <v>19</v>
      </c>
      <c r="C5" s="6" t="s">
        <v>20</v>
      </c>
      <c r="D5" s="6" t="s">
        <v>21</v>
      </c>
      <c r="E5" s="7" t="s">
        <v>22</v>
      </c>
    </row>
    <row r="6" spans="1:5" ht="33.75" customHeight="1" x14ac:dyDescent="0.3">
      <c r="A6" s="6" t="s">
        <v>23</v>
      </c>
      <c r="B6" s="7" t="s">
        <v>19</v>
      </c>
      <c r="C6" s="6" t="s">
        <v>24</v>
      </c>
      <c r="D6" s="6" t="s">
        <v>25</v>
      </c>
      <c r="E6" s="7" t="s">
        <v>26</v>
      </c>
    </row>
    <row r="7" spans="1:5" ht="33.75" customHeight="1" x14ac:dyDescent="0.3">
      <c r="A7" s="6" t="s">
        <v>27</v>
      </c>
      <c r="B7" s="7" t="s">
        <v>19</v>
      </c>
      <c r="C7" s="6" t="s">
        <v>28</v>
      </c>
      <c r="D7" s="6" t="s">
        <v>29</v>
      </c>
      <c r="E7" s="7" t="s">
        <v>30</v>
      </c>
    </row>
    <row r="8" spans="1:5" ht="33.75" customHeight="1" x14ac:dyDescent="0.3">
      <c r="A8" s="6" t="s">
        <v>31</v>
      </c>
      <c r="B8" s="7" t="s">
        <v>19</v>
      </c>
      <c r="C8" s="6" t="s">
        <v>32</v>
      </c>
      <c r="D8" s="6" t="s">
        <v>33</v>
      </c>
      <c r="E8" s="7" t="s">
        <v>34</v>
      </c>
    </row>
    <row r="9" spans="1:5" ht="33.75" customHeight="1" x14ac:dyDescent="0.3">
      <c r="A9" s="6" t="s">
        <v>35</v>
      </c>
      <c r="B9" s="7" t="s">
        <v>19</v>
      </c>
      <c r="C9" s="6" t="s">
        <v>36</v>
      </c>
      <c r="D9" s="6" t="s">
        <v>37</v>
      </c>
      <c r="E9" s="7" t="s">
        <v>38</v>
      </c>
    </row>
    <row r="10" spans="1:5" ht="33.75" customHeight="1" x14ac:dyDescent="0.3">
      <c r="A10" s="6" t="s">
        <v>39</v>
      </c>
      <c r="B10" s="7" t="s">
        <v>19</v>
      </c>
      <c r="C10" s="6" t="s">
        <v>40</v>
      </c>
      <c r="D10" s="6" t="s">
        <v>41</v>
      </c>
      <c r="E10" s="7" t="s">
        <v>42</v>
      </c>
    </row>
    <row r="12" spans="1:5" ht="15" customHeight="1" x14ac:dyDescent="0.3">
      <c r="A12" s="8" t="s">
        <v>43</v>
      </c>
      <c r="B12" s="4">
        <f>COUNTIF(B5:B10,"Có")</f>
        <v>6</v>
      </c>
    </row>
    <row r="13" spans="1:5" ht="15" customHeight="1" x14ac:dyDescent="0.3">
      <c r="A13" s="2"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heetViews>
  <sheetFormatPr defaultColWidth="8.6640625" defaultRowHeight="14.4" x14ac:dyDescent="0.3"/>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3">
      <c r="A1" s="1" t="s">
        <v>45</v>
      </c>
    </row>
    <row r="2" spans="1:17" ht="15" customHeight="1" x14ac:dyDescent="0.3">
      <c r="A2" s="2" t="s">
        <v>46</v>
      </c>
    </row>
    <row r="4" spans="1:17" ht="39" customHeight="1" x14ac:dyDescent="0.3">
      <c r="A4" s="9" t="s">
        <v>47</v>
      </c>
      <c r="B4" s="9" t="s">
        <v>48</v>
      </c>
      <c r="C4" s="9" t="s">
        <v>49</v>
      </c>
      <c r="D4" s="9" t="s">
        <v>50</v>
      </c>
      <c r="E4" s="9" t="s">
        <v>51</v>
      </c>
      <c r="F4" s="9" t="s">
        <v>52</v>
      </c>
      <c r="G4" s="9" t="s">
        <v>53</v>
      </c>
      <c r="H4" s="9" t="s">
        <v>54</v>
      </c>
      <c r="I4" s="9" t="s">
        <v>55</v>
      </c>
      <c r="J4" s="9" t="s">
        <v>56</v>
      </c>
      <c r="K4" s="9" t="s">
        <v>57</v>
      </c>
      <c r="L4" s="9" t="s">
        <v>58</v>
      </c>
      <c r="M4" s="9" t="s">
        <v>59</v>
      </c>
      <c r="N4" s="9" t="s">
        <v>60</v>
      </c>
      <c r="O4" s="9" t="s">
        <v>61</v>
      </c>
      <c r="P4" s="9" t="s">
        <v>62</v>
      </c>
      <c r="Q4" s="9" t="s">
        <v>63</v>
      </c>
    </row>
    <row r="5" spans="1:17" ht="34.5" customHeight="1" x14ac:dyDescent="0.3">
      <c r="A5" s="10">
        <v>1</v>
      </c>
      <c r="B5" s="7" t="s">
        <v>64</v>
      </c>
      <c r="C5" s="7" t="s">
        <v>65</v>
      </c>
      <c r="D5" s="7" t="s">
        <v>66</v>
      </c>
      <c r="E5" s="7" t="s">
        <v>67</v>
      </c>
      <c r="F5" s="7">
        <v>5</v>
      </c>
      <c r="G5" s="7">
        <v>5</v>
      </c>
      <c r="H5" s="7">
        <v>0.8</v>
      </c>
      <c r="I5" s="7">
        <v>2</v>
      </c>
      <c r="J5" s="7">
        <v>0.6</v>
      </c>
      <c r="K5" s="7">
        <v>0.7</v>
      </c>
      <c r="L5" s="7">
        <v>0.3</v>
      </c>
      <c r="M5" s="11">
        <f t="shared" ref="M5:M14" si="0">IF(COUNT(F5:L5)&lt;7,"",ROUND(F5*G5*H5/I5*(0.5+0.5*AVERAGE(J5:K5))*(1-0.5*L5),2))</f>
        <v>7.01</v>
      </c>
      <c r="N5" s="11">
        <f t="shared" ref="N5:N14" si="1">IF(M5="","",RANK(M5,$M$5:$M$14))</f>
        <v>3</v>
      </c>
      <c r="O5" s="12" t="str">
        <f>IF(B5="","",IF(OR(D5="",E5=""),"Thiếu",IF(SUMPRODUCT(--ISNUMBER(SEARCH({"0","1","2","3","4","5","6","7","8","9"},E5)))&gt;0,"Có","Thiếu")))</f>
        <v>Có</v>
      </c>
      <c r="P5" s="13" t="s">
        <v>68</v>
      </c>
      <c r="Q5" s="13" t="s">
        <v>69</v>
      </c>
    </row>
    <row r="6" spans="1:17" ht="23.25" customHeight="1" x14ac:dyDescent="0.3">
      <c r="A6" s="10">
        <v>2</v>
      </c>
      <c r="B6" s="7" t="s">
        <v>70</v>
      </c>
      <c r="C6" s="7" t="s">
        <v>71</v>
      </c>
      <c r="D6" s="7" t="s">
        <v>72</v>
      </c>
      <c r="E6" s="7" t="s">
        <v>73</v>
      </c>
      <c r="F6" s="7">
        <v>4</v>
      </c>
      <c r="G6" s="7">
        <v>3</v>
      </c>
      <c r="H6" s="7">
        <v>0.5</v>
      </c>
      <c r="I6" s="7">
        <v>3</v>
      </c>
      <c r="J6" s="7">
        <v>0.4</v>
      </c>
      <c r="K6" s="7">
        <v>0.3</v>
      </c>
      <c r="L6" s="7">
        <v>0.6</v>
      </c>
      <c r="M6" s="11">
        <f t="shared" si="0"/>
        <v>0.95</v>
      </c>
      <c r="N6" s="11">
        <f t="shared" si="1"/>
        <v>7</v>
      </c>
      <c r="O6" s="12" t="str">
        <f>IF(B6="","",IF(OR(D6="",E6=""),"Thiếu",IF(SUMPRODUCT(--ISNUMBER(SEARCH({"0","1","2","3","4","5","6","7","8","9"},E6)))&gt;0,"Có","Thiếu")))</f>
        <v>Có</v>
      </c>
      <c r="P6" s="13" t="s">
        <v>68</v>
      </c>
      <c r="Q6" s="13" t="s">
        <v>74</v>
      </c>
    </row>
    <row r="7" spans="1:17" ht="23.25" customHeight="1" x14ac:dyDescent="0.3">
      <c r="A7" s="10">
        <v>3</v>
      </c>
      <c r="B7" s="7" t="s">
        <v>75</v>
      </c>
      <c r="C7" s="7" t="s">
        <v>76</v>
      </c>
      <c r="D7" s="7" t="s">
        <v>77</v>
      </c>
      <c r="E7" s="7" t="s">
        <v>78</v>
      </c>
      <c r="F7" s="7">
        <v>5</v>
      </c>
      <c r="G7" s="7">
        <v>5</v>
      </c>
      <c r="H7" s="7">
        <v>0.8</v>
      </c>
      <c r="I7" s="7">
        <v>2</v>
      </c>
      <c r="J7" s="7">
        <v>0.7</v>
      </c>
      <c r="K7" s="7">
        <v>0.6</v>
      </c>
      <c r="L7" s="7">
        <v>0.1</v>
      </c>
      <c r="M7" s="11">
        <f t="shared" si="0"/>
        <v>7.84</v>
      </c>
      <c r="N7" s="11">
        <f t="shared" si="1"/>
        <v>2</v>
      </c>
      <c r="O7" s="12" t="str">
        <f>IF(B7="","",IF(OR(D7="",E7=""),"Thiếu",IF(SUMPRODUCT(--ISNUMBER(SEARCH({"0","1","2","3","4","5","6","7","8","9"},E7)))&gt;0,"Có","Thiếu")))</f>
        <v>Có</v>
      </c>
      <c r="P7" s="13" t="s">
        <v>68</v>
      </c>
      <c r="Q7" s="13" t="s">
        <v>79</v>
      </c>
    </row>
    <row r="8" spans="1:17" ht="23.25" customHeight="1" x14ac:dyDescent="0.3">
      <c r="A8" s="10">
        <v>4</v>
      </c>
      <c r="B8" s="7" t="s">
        <v>80</v>
      </c>
      <c r="C8" s="7" t="s">
        <v>81</v>
      </c>
      <c r="D8" s="7" t="s">
        <v>82</v>
      </c>
      <c r="E8" s="7" t="s">
        <v>83</v>
      </c>
      <c r="F8" s="7">
        <v>4</v>
      </c>
      <c r="G8" s="7">
        <v>2</v>
      </c>
      <c r="H8" s="7">
        <v>0.8</v>
      </c>
      <c r="I8" s="7">
        <v>1</v>
      </c>
      <c r="J8" s="7">
        <v>0.9</v>
      </c>
      <c r="K8" s="7">
        <v>0.5</v>
      </c>
      <c r="L8" s="7">
        <v>0.9</v>
      </c>
      <c r="M8" s="11">
        <f t="shared" si="0"/>
        <v>2.99</v>
      </c>
      <c r="N8" s="11">
        <f t="shared" si="1"/>
        <v>4</v>
      </c>
      <c r="O8" s="12" t="str">
        <f>IF(B8="","",IF(OR(D8="",E8=""),"Thiếu",IF(SUMPRODUCT(--ISNUMBER(SEARCH({"0","1","2","3","4","5","6","7","8","9"},E8)))&gt;0,"Có","Thiếu")))</f>
        <v>Có</v>
      </c>
      <c r="P8" s="13" t="s">
        <v>84</v>
      </c>
      <c r="Q8" s="13" t="s">
        <v>85</v>
      </c>
    </row>
    <row r="9" spans="1:17" ht="23.25" customHeight="1" x14ac:dyDescent="0.3">
      <c r="A9" s="10">
        <v>5</v>
      </c>
      <c r="B9" s="7" t="s">
        <v>86</v>
      </c>
      <c r="C9" s="7" t="s">
        <v>87</v>
      </c>
      <c r="D9" s="7" t="s">
        <v>88</v>
      </c>
      <c r="E9" s="7" t="s">
        <v>89</v>
      </c>
      <c r="F9" s="7">
        <v>4</v>
      </c>
      <c r="G9" s="7">
        <v>4</v>
      </c>
      <c r="H9" s="7">
        <v>0.5</v>
      </c>
      <c r="I9" s="7">
        <v>3</v>
      </c>
      <c r="J9" s="7">
        <v>0.2</v>
      </c>
      <c r="K9" s="7">
        <v>0.2</v>
      </c>
      <c r="L9" s="7">
        <v>0.4</v>
      </c>
      <c r="M9" s="11">
        <f t="shared" si="0"/>
        <v>1.28</v>
      </c>
      <c r="N9" s="11">
        <f t="shared" si="1"/>
        <v>6</v>
      </c>
      <c r="O9" s="12" t="str">
        <f>IF(B9="","",IF(OR(D9="",E9=""),"Thiếu",IF(SUMPRODUCT(--ISNUMBER(SEARCH({"0","1","2","3","4","5","6","7","8","9"},E9)))&gt;0,"Có","Thiếu")))</f>
        <v>Có</v>
      </c>
      <c r="P9" s="13" t="s">
        <v>90</v>
      </c>
      <c r="Q9" s="13" t="s">
        <v>91</v>
      </c>
    </row>
    <row r="10" spans="1:17" ht="23.25" customHeight="1" x14ac:dyDescent="0.3">
      <c r="A10" s="10">
        <v>6</v>
      </c>
      <c r="B10" s="7" t="s">
        <v>92</v>
      </c>
      <c r="C10" s="7" t="s">
        <v>93</v>
      </c>
      <c r="D10" s="7" t="s">
        <v>94</v>
      </c>
      <c r="E10" s="7" t="s">
        <v>95</v>
      </c>
      <c r="F10" s="7">
        <v>3</v>
      </c>
      <c r="G10" s="7">
        <v>2</v>
      </c>
      <c r="H10" s="7">
        <v>0.8</v>
      </c>
      <c r="I10" s="7">
        <v>1</v>
      </c>
      <c r="J10" s="7">
        <v>0.8</v>
      </c>
      <c r="K10" s="7">
        <v>0.3</v>
      </c>
      <c r="L10" s="7">
        <v>0.9</v>
      </c>
      <c r="M10" s="11">
        <f t="shared" si="0"/>
        <v>2.0499999999999998</v>
      </c>
      <c r="N10" s="11">
        <f t="shared" si="1"/>
        <v>5</v>
      </c>
      <c r="O10" s="12" t="str">
        <f>IF(B10="","",IF(OR(D10="",E10=""),"Thiếu",IF(SUMPRODUCT(--ISNUMBER(SEARCH({"0","1","2","3","4","5","6","7","8","9"},E10)))&gt;0,"Có","Thiếu")))</f>
        <v>Có</v>
      </c>
      <c r="P10" s="13" t="s">
        <v>96</v>
      </c>
      <c r="Q10" s="13" t="s">
        <v>97</v>
      </c>
    </row>
    <row r="11" spans="1:17" ht="15" customHeight="1" x14ac:dyDescent="0.3">
      <c r="A11" s="10">
        <v>7</v>
      </c>
      <c r="B11" s="7" t="s">
        <v>98</v>
      </c>
      <c r="C11" s="7" t="s">
        <v>99</v>
      </c>
      <c r="D11" s="7" t="s">
        <v>100</v>
      </c>
      <c r="E11" s="7" t="s">
        <v>101</v>
      </c>
      <c r="F11" s="7">
        <v>3</v>
      </c>
      <c r="G11" s="7">
        <v>5</v>
      </c>
      <c r="H11" s="7">
        <v>0.8</v>
      </c>
      <c r="I11" s="7">
        <v>1</v>
      </c>
      <c r="J11" s="7">
        <v>0.7</v>
      </c>
      <c r="K11" s="7">
        <v>0.8</v>
      </c>
      <c r="L11" s="7">
        <v>0.1</v>
      </c>
      <c r="M11" s="11">
        <f t="shared" si="0"/>
        <v>9.98</v>
      </c>
      <c r="N11" s="11">
        <f t="shared" si="1"/>
        <v>1</v>
      </c>
      <c r="O11" s="12" t="str">
        <f>IF(B11="","",IF(OR(D11="",E11=""),"Thiếu",IF(SUMPRODUCT(--ISNUMBER(SEARCH({"0","1","2","3","4","5","6","7","8","9"},E11)))&gt;0,"Có","Thiếu")))</f>
        <v>Có</v>
      </c>
      <c r="P11" s="13" t="s">
        <v>68</v>
      </c>
      <c r="Q11" s="13" t="s">
        <v>102</v>
      </c>
    </row>
    <row r="12" spans="1:17" ht="15" customHeight="1" x14ac:dyDescent="0.3">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3">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3">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heetViews>
  <sheetFormatPr defaultColWidth="8.6640625" defaultRowHeight="14.4" x14ac:dyDescent="0.3"/>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3">
      <c r="A1" s="1" t="s">
        <v>103</v>
      </c>
    </row>
    <row r="2" spans="1:13" ht="15" customHeight="1" x14ac:dyDescent="0.3">
      <c r="A2" s="2" t="s">
        <v>104</v>
      </c>
    </row>
    <row r="4" spans="1:13" ht="26.25" customHeight="1" x14ac:dyDescent="0.3">
      <c r="A4" s="9" t="s">
        <v>105</v>
      </c>
      <c r="B4" s="9" t="s">
        <v>106</v>
      </c>
      <c r="C4" s="9" t="s">
        <v>107</v>
      </c>
      <c r="D4" s="9" t="s">
        <v>108</v>
      </c>
      <c r="E4" s="9" t="s">
        <v>109</v>
      </c>
      <c r="F4" s="9" t="s">
        <v>110</v>
      </c>
      <c r="G4" s="9" t="s">
        <v>111</v>
      </c>
      <c r="H4" s="9" t="s">
        <v>112</v>
      </c>
      <c r="I4" s="9" t="s">
        <v>113</v>
      </c>
      <c r="J4" s="9" t="s">
        <v>114</v>
      </c>
      <c r="K4" s="9" t="s">
        <v>115</v>
      </c>
      <c r="L4" s="9" t="s">
        <v>116</v>
      </c>
      <c r="M4" s="9" t="s">
        <v>117</v>
      </c>
    </row>
    <row r="5" spans="1:13" ht="48" customHeight="1" x14ac:dyDescent="0.3">
      <c r="A5" s="10">
        <v>0</v>
      </c>
      <c r="B5" s="7" t="s">
        <v>118</v>
      </c>
      <c r="C5" s="7" t="s">
        <v>119</v>
      </c>
      <c r="D5" s="7" t="s">
        <v>120</v>
      </c>
      <c r="E5" s="7" t="s">
        <v>121</v>
      </c>
      <c r="F5" s="7" t="s">
        <v>122</v>
      </c>
      <c r="G5" s="7" t="s">
        <v>123</v>
      </c>
      <c r="H5" s="14">
        <v>1</v>
      </c>
      <c r="I5" s="13" t="s">
        <v>124</v>
      </c>
      <c r="J5" s="15">
        <f>IF(H5="","",$B$12+$B$13+IF(I5="Người của mình",H5*$B$14*$B$15/60,0))</f>
        <v>7019</v>
      </c>
      <c r="K5" s="16">
        <f>IF(J5="","",IFERROR(($B$16-$B$17*J5)/$B$16,""))</f>
        <v>-0.3472168905950096</v>
      </c>
      <c r="L5" s="17" t="str">
        <f>IF(K5="","",IF(K5&gt;=0.6,"Đạt","Dưới ngưỡng"))</f>
        <v>Dưới ngưỡng</v>
      </c>
    </row>
    <row r="6" spans="1:13" ht="48" customHeight="1" x14ac:dyDescent="0.3">
      <c r="A6" s="10">
        <v>1</v>
      </c>
      <c r="B6" s="7" t="s">
        <v>125</v>
      </c>
      <c r="C6" s="7" t="s">
        <v>126</v>
      </c>
      <c r="D6" s="7" t="s">
        <v>127</v>
      </c>
      <c r="E6" s="7" t="s">
        <v>128</v>
      </c>
      <c r="F6" s="7" t="s">
        <v>129</v>
      </c>
      <c r="G6" s="7" t="s">
        <v>130</v>
      </c>
      <c r="H6" s="14">
        <v>0.3</v>
      </c>
      <c r="I6" s="13" t="s">
        <v>124</v>
      </c>
      <c r="J6" s="15">
        <f>IF(H6="","",$B$12+$B$13+IF(I6="Người của mình",H6*$B$14*$B$15/60,0))</f>
        <v>2819</v>
      </c>
      <c r="K6" s="16">
        <f>IF(J6="","",IFERROR(($B$16-$B$17*J6)/$B$16,""))</f>
        <v>0.45892514395393474</v>
      </c>
      <c r="L6" s="17" t="str">
        <f>IF(K6="","",IF(K6&gt;=0.6,"Đạt","Dưới ngưỡng"))</f>
        <v>Dưới ngưỡng</v>
      </c>
      <c r="M6" s="17" t="str">
        <f>IF(E6="","",IF(SUMPRODUCT(--ISNUMBER(SEARCH({"0","1","2","3","4","5","6","7","8","9"},E6)))&gt;0,"Có","Thiếu"))</f>
        <v>Có</v>
      </c>
    </row>
    <row r="7" spans="1:13" ht="48" customHeight="1" x14ac:dyDescent="0.3">
      <c r="A7" s="10">
        <v>2</v>
      </c>
      <c r="B7" s="7" t="s">
        <v>131</v>
      </c>
      <c r="C7" s="7" t="s">
        <v>132</v>
      </c>
      <c r="D7" s="7" t="s">
        <v>133</v>
      </c>
      <c r="E7" s="7" t="s">
        <v>134</v>
      </c>
      <c r="F7" s="7" t="s">
        <v>135</v>
      </c>
      <c r="G7" s="7" t="s">
        <v>136</v>
      </c>
      <c r="H7" s="14">
        <v>0.15</v>
      </c>
      <c r="I7" s="13" t="s">
        <v>124</v>
      </c>
      <c r="J7" s="15">
        <f>IF(H7="","",$B$12+$B$13+IF(I7="Người của mình",H7*$B$14*$B$15/60,0))</f>
        <v>1919</v>
      </c>
      <c r="K7" s="16">
        <f>IF(J7="","",IFERROR(($B$16-$B$17*J7)/$B$16,""))</f>
        <v>0.63166986564299421</v>
      </c>
      <c r="L7" s="17" t="str">
        <f>IF(K7="","",IF(K7&gt;=0.6,"Đạt","Dưới ngưỡng"))</f>
        <v>Đạt</v>
      </c>
      <c r="M7" s="17" t="str">
        <f>IF(E7="","",IF(SUMPRODUCT(--ISNUMBER(SEARCH({"0","1","2","3","4","5","6","7","8","9"},E7)))&gt;0,"Có","Thiếu"))</f>
        <v>Có</v>
      </c>
    </row>
    <row r="8" spans="1:13" ht="48" customHeight="1" x14ac:dyDescent="0.3">
      <c r="A8" s="10">
        <v>3</v>
      </c>
      <c r="B8" s="7" t="s">
        <v>137</v>
      </c>
      <c r="C8" s="7" t="s">
        <v>138</v>
      </c>
      <c r="D8" s="7" t="s">
        <v>139</v>
      </c>
      <c r="E8" s="7" t="s">
        <v>140</v>
      </c>
      <c r="F8" s="7" t="s">
        <v>141</v>
      </c>
      <c r="G8" s="7" t="s">
        <v>142</v>
      </c>
      <c r="H8" s="14">
        <v>0.05</v>
      </c>
      <c r="I8" s="13" t="s">
        <v>124</v>
      </c>
      <c r="J8" s="15">
        <f>IF(H8="","",$B$12+$B$13+IF(I8="Người của mình",H8*$B$14*$B$15/60,0))</f>
        <v>1319</v>
      </c>
      <c r="K8" s="16">
        <f>IF(J8="","",IFERROR(($B$16-$B$17*J8)/$B$16,""))</f>
        <v>0.74683301343570052</v>
      </c>
      <c r="L8" s="17" t="str">
        <f>IF(K8="","",IF(K8&gt;=0.6,"Đạt","Dưới ngưỡng"))</f>
        <v>Đạt</v>
      </c>
      <c r="M8" s="17" t="str">
        <f>IF(E8="","",IF(SUMPRODUCT(--ISNUMBER(SEARCH({"0","1","2","3","4","5","6","7","8","9"},E8)))&gt;0,"Có","Thiếu"))</f>
        <v>Có</v>
      </c>
    </row>
    <row r="11" spans="1:13" ht="15" customHeight="1" x14ac:dyDescent="0.3">
      <c r="A11" s="8" t="s">
        <v>143</v>
      </c>
    </row>
    <row r="12" spans="1:13" ht="15" customHeight="1" x14ac:dyDescent="0.3">
      <c r="A12" s="18" t="s">
        <v>144</v>
      </c>
      <c r="B12" s="19">
        <v>769</v>
      </c>
      <c r="C12" s="20" t="s">
        <v>145</v>
      </c>
    </row>
    <row r="13" spans="1:13" ht="15" customHeight="1" x14ac:dyDescent="0.3">
      <c r="A13" s="18" t="s">
        <v>146</v>
      </c>
      <c r="B13" s="19">
        <v>250</v>
      </c>
      <c r="C13" s="20" t="s">
        <v>147</v>
      </c>
    </row>
    <row r="14" spans="1:13" ht="15" customHeight="1" x14ac:dyDescent="0.3">
      <c r="A14" s="18" t="s">
        <v>148</v>
      </c>
      <c r="B14" s="21">
        <v>3</v>
      </c>
      <c r="C14" s="20" t="s">
        <v>149</v>
      </c>
    </row>
    <row r="15" spans="1:13" ht="15" customHeight="1" x14ac:dyDescent="0.3">
      <c r="A15" s="18" t="s">
        <v>150</v>
      </c>
      <c r="B15" s="19">
        <v>120000</v>
      </c>
      <c r="C15" s="20" t="s">
        <v>151</v>
      </c>
    </row>
    <row r="16" spans="1:13" ht="15" customHeight="1" x14ac:dyDescent="0.3">
      <c r="A16" s="18" t="s">
        <v>152</v>
      </c>
      <c r="B16" s="19">
        <v>5210000</v>
      </c>
      <c r="C16" s="20" t="s">
        <v>153</v>
      </c>
    </row>
    <row r="17" spans="1:3" ht="15" customHeight="1" x14ac:dyDescent="0.3">
      <c r="A17" s="18" t="s">
        <v>154</v>
      </c>
      <c r="B17" s="19">
        <v>1000</v>
      </c>
      <c r="C17" s="20" t="s">
        <v>155</v>
      </c>
    </row>
    <row r="18" spans="1:3" ht="15" customHeight="1" x14ac:dyDescent="0.3">
      <c r="A18" s="18" t="s">
        <v>156</v>
      </c>
      <c r="B18" s="13" t="s">
        <v>157</v>
      </c>
      <c r="C18" s="20" t="s">
        <v>158</v>
      </c>
    </row>
    <row r="19" spans="1:3" ht="15" customHeight="1" x14ac:dyDescent="0.3">
      <c r="A19" s="18" t="s">
        <v>159</v>
      </c>
      <c r="B19" s="13" t="s">
        <v>160</v>
      </c>
      <c r="C19" s="20" t="s">
        <v>161</v>
      </c>
    </row>
    <row r="20" spans="1:3" ht="15" customHeight="1" x14ac:dyDescent="0.3">
      <c r="A20" s="18" t="s">
        <v>162</v>
      </c>
      <c r="B20" s="22">
        <v>17</v>
      </c>
      <c r="C20" s="20" t="s">
        <v>163</v>
      </c>
    </row>
    <row r="22" spans="1:3" ht="15" customHeight="1" x14ac:dyDescent="0.3">
      <c r="A22" s="20" t="s">
        <v>164</v>
      </c>
    </row>
    <row r="23" spans="1:3" ht="15" customHeight="1" x14ac:dyDescent="0.3">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6640625" defaultRowHeight="14.4" x14ac:dyDescent="0.3"/>
  <cols>
    <col min="1" max="1" width="30" customWidth="1"/>
    <col min="2" max="4" width="42" customWidth="1"/>
  </cols>
  <sheetData>
    <row r="1" spans="1:4" ht="17.25" customHeight="1" x14ac:dyDescent="0.3">
      <c r="A1" s="1" t="s">
        <v>165</v>
      </c>
    </row>
    <row r="2" spans="1:4" ht="15" customHeight="1" x14ac:dyDescent="0.3">
      <c r="A2" s="2" t="s">
        <v>166</v>
      </c>
    </row>
    <row r="4" spans="1:4" ht="15" customHeight="1" x14ac:dyDescent="0.3">
      <c r="A4" s="9" t="s">
        <v>167</v>
      </c>
      <c r="B4" s="9" t="s">
        <v>168</v>
      </c>
      <c r="C4" s="9" t="s">
        <v>169</v>
      </c>
      <c r="D4" s="9" t="s">
        <v>170</v>
      </c>
    </row>
    <row r="5" spans="1:4" ht="48" customHeight="1" x14ac:dyDescent="0.3">
      <c r="A5" s="23" t="s">
        <v>171</v>
      </c>
      <c r="B5" s="7" t="s">
        <v>172</v>
      </c>
      <c r="C5" s="7" t="s">
        <v>173</v>
      </c>
      <c r="D5" s="7" t="s">
        <v>174</v>
      </c>
    </row>
    <row r="6" spans="1:4" ht="48" customHeight="1" x14ac:dyDescent="0.3">
      <c r="A6" s="23" t="s">
        <v>175</v>
      </c>
      <c r="B6" s="7" t="s">
        <v>176</v>
      </c>
      <c r="C6" s="7" t="s">
        <v>177</v>
      </c>
      <c r="D6" s="7" t="s">
        <v>178</v>
      </c>
    </row>
    <row r="7" spans="1:4" ht="48" customHeight="1" x14ac:dyDescent="0.3">
      <c r="A7" s="23" t="s">
        <v>51</v>
      </c>
      <c r="B7" s="7" t="s">
        <v>179</v>
      </c>
      <c r="C7" s="7" t="s">
        <v>180</v>
      </c>
      <c r="D7" s="7" t="s">
        <v>181</v>
      </c>
    </row>
    <row r="8" spans="1:4" ht="48" customHeight="1" x14ac:dyDescent="0.3">
      <c r="A8" s="23" t="s">
        <v>182</v>
      </c>
      <c r="B8" s="7" t="s">
        <v>183</v>
      </c>
      <c r="C8" s="7" t="s">
        <v>184</v>
      </c>
      <c r="D8" s="7" t="s">
        <v>185</v>
      </c>
    </row>
    <row r="9" spans="1:4" ht="48" customHeight="1" x14ac:dyDescent="0.3">
      <c r="A9" s="23" t="s">
        <v>186</v>
      </c>
      <c r="B9" s="7" t="s">
        <v>187</v>
      </c>
      <c r="C9" s="7" t="s">
        <v>188</v>
      </c>
      <c r="D9" s="7" t="s">
        <v>189</v>
      </c>
    </row>
    <row r="10" spans="1:4" ht="48" customHeight="1" x14ac:dyDescent="0.3">
      <c r="A10" s="23" t="s">
        <v>190</v>
      </c>
      <c r="B10" s="7" t="s">
        <v>191</v>
      </c>
      <c r="C10" s="7" t="s">
        <v>192</v>
      </c>
      <c r="D10" s="7" t="s">
        <v>193</v>
      </c>
    </row>
    <row r="11" spans="1:4" ht="48" customHeight="1" x14ac:dyDescent="0.3">
      <c r="A11" s="23" t="s">
        <v>194</v>
      </c>
      <c r="B11" s="7" t="s">
        <v>195</v>
      </c>
      <c r="C11" s="7" t="s">
        <v>196</v>
      </c>
      <c r="D11" s="7" t="s">
        <v>197</v>
      </c>
    </row>
    <row r="12" spans="1:4" ht="48" customHeight="1" x14ac:dyDescent="0.3">
      <c r="A12" s="23" t="s">
        <v>198</v>
      </c>
      <c r="B12" s="7" t="s">
        <v>199</v>
      </c>
      <c r="C12" s="7" t="s">
        <v>200</v>
      </c>
      <c r="D12" s="7" t="s">
        <v>201</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6640625" defaultRowHeight="14.4" x14ac:dyDescent="0.3"/>
  <cols>
    <col min="1" max="1" width="34" customWidth="1"/>
    <col min="2" max="3" width="40" customWidth="1"/>
    <col min="4" max="4" width="28" customWidth="1"/>
  </cols>
  <sheetData>
    <row r="1" spans="1:4" ht="17.25" customHeight="1" x14ac:dyDescent="0.3">
      <c r="A1" s="1" t="s">
        <v>202</v>
      </c>
    </row>
    <row r="2" spans="1:4" ht="15" customHeight="1" x14ac:dyDescent="0.3">
      <c r="A2" s="2" t="s">
        <v>203</v>
      </c>
    </row>
    <row r="4" spans="1:4" ht="15" customHeight="1" x14ac:dyDescent="0.3">
      <c r="A4" s="9" t="s">
        <v>204</v>
      </c>
      <c r="B4" s="9" t="s">
        <v>205</v>
      </c>
      <c r="C4" s="9" t="s">
        <v>206</v>
      </c>
      <c r="D4" s="9" t="s">
        <v>207</v>
      </c>
    </row>
    <row r="5" spans="1:4" ht="15" customHeight="1" x14ac:dyDescent="0.3">
      <c r="A5" s="7" t="s">
        <v>208</v>
      </c>
      <c r="B5" s="7" t="s">
        <v>209</v>
      </c>
      <c r="C5" s="7" t="s">
        <v>210</v>
      </c>
      <c r="D5" s="7" t="s">
        <v>211</v>
      </c>
    </row>
    <row r="6" spans="1:4" ht="15" customHeight="1" x14ac:dyDescent="0.3">
      <c r="A6" s="7" t="s">
        <v>212</v>
      </c>
      <c r="B6" s="7" t="s">
        <v>213</v>
      </c>
      <c r="C6" s="7" t="s">
        <v>214</v>
      </c>
      <c r="D6" s="7" t="s">
        <v>215</v>
      </c>
    </row>
    <row r="7" spans="1:4" ht="15" customHeight="1" x14ac:dyDescent="0.3">
      <c r="A7" s="7" t="s">
        <v>216</v>
      </c>
      <c r="B7" s="7" t="s">
        <v>217</v>
      </c>
      <c r="C7" s="7" t="s">
        <v>218</v>
      </c>
      <c r="D7" s="7" t="s">
        <v>219</v>
      </c>
    </row>
    <row r="8" spans="1:4" ht="15" customHeight="1" x14ac:dyDescent="0.3">
      <c r="A8" s="7" t="s">
        <v>220</v>
      </c>
      <c r="B8" s="7" t="s">
        <v>221</v>
      </c>
      <c r="C8" s="7" t="s">
        <v>222</v>
      </c>
      <c r="D8" s="7" t="s">
        <v>215</v>
      </c>
    </row>
    <row r="9" spans="1:4" ht="15" customHeight="1" x14ac:dyDescent="0.3">
      <c r="A9" s="7" t="s">
        <v>223</v>
      </c>
      <c r="B9" s="7" t="s">
        <v>224</v>
      </c>
      <c r="C9" s="7" t="s">
        <v>225</v>
      </c>
      <c r="D9" s="7" t="s">
        <v>219</v>
      </c>
    </row>
    <row r="10" spans="1:4" ht="15" customHeight="1" x14ac:dyDescent="0.3">
      <c r="A10" s="7" t="s">
        <v>226</v>
      </c>
      <c r="B10" s="7" t="s">
        <v>227</v>
      </c>
      <c r="C10" s="7" t="s">
        <v>228</v>
      </c>
      <c r="D10" s="7" t="s">
        <v>229</v>
      </c>
    </row>
    <row r="12" spans="1:4" ht="15" customHeight="1" x14ac:dyDescent="0.3">
      <c r="A12" s="20" t="s">
        <v>230</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heetViews>
  <sheetFormatPr defaultColWidth="8.6640625" defaultRowHeight="14.4" x14ac:dyDescent="0.3"/>
  <cols>
    <col min="1" max="1" width="32" customWidth="1"/>
    <col min="2" max="2" width="90" customWidth="1"/>
    <col min="3" max="3" width="8" customWidth="1"/>
    <col min="4" max="4" width="12" customWidth="1"/>
  </cols>
  <sheetData>
    <row r="1" spans="1:4" ht="17.25" customHeight="1" x14ac:dyDescent="0.3">
      <c r="A1" s="1" t="s">
        <v>231</v>
      </c>
    </row>
    <row r="2" spans="1:4" ht="15" customHeight="1" x14ac:dyDescent="0.3">
      <c r="A2" s="2" t="s">
        <v>232</v>
      </c>
    </row>
    <row r="3" spans="1:4" ht="15" customHeight="1" x14ac:dyDescent="0.3">
      <c r="C3" s="24" t="s">
        <v>233</v>
      </c>
      <c r="D3" s="24" t="s">
        <v>234</v>
      </c>
    </row>
    <row r="4" spans="1:4" ht="33.75" customHeight="1" x14ac:dyDescent="0.3">
      <c r="A4" s="24" t="s">
        <v>235</v>
      </c>
      <c r="B4" s="7" t="s">
        <v>236</v>
      </c>
      <c r="C4" s="25">
        <f>IF(TRIM(B4)="",0,LEN(TRIM(B4))-LEN(SUBSTITUTE(TRIM(B4)," ",""))+1)</f>
        <v>45</v>
      </c>
      <c r="D4" s="17" t="str">
        <f>IF(C4=0,"Trống",IF(C4&gt;60,"Quá 60 chữ","Đạt"))</f>
        <v>Đạt</v>
      </c>
    </row>
    <row r="5" spans="1:4" ht="33.75" customHeight="1" x14ac:dyDescent="0.3">
      <c r="A5" s="24" t="s">
        <v>237</v>
      </c>
      <c r="B5" s="7" t="s">
        <v>238</v>
      </c>
      <c r="C5" s="25">
        <f>IF(TRIM(B5)="",0,LEN(TRIM(B5))-LEN(SUBSTITUTE(TRIM(B5)," ",""))+1)</f>
        <v>47</v>
      </c>
      <c r="D5" s="17" t="str">
        <f>IF(C5=0,"Trống",IF(C5&gt;60,"Quá 60 chữ","Đạt"))</f>
        <v>Đạt</v>
      </c>
    </row>
    <row r="6" spans="1:4" ht="33.75" customHeight="1" x14ac:dyDescent="0.3">
      <c r="A6" s="24" t="s">
        <v>239</v>
      </c>
      <c r="B6" s="7" t="s">
        <v>240</v>
      </c>
      <c r="C6" s="25">
        <f>IF(TRIM(B6)="",0,LEN(TRIM(B6))-LEN(SUBSTITUTE(TRIM(B6)," ",""))+1)</f>
        <v>43</v>
      </c>
      <c r="D6" s="17" t="str">
        <f>IF(C6=0,"Trống",IF(C6&gt;60,"Quá 60 chữ","Đạt"))</f>
        <v>Đạt</v>
      </c>
    </row>
    <row r="7" spans="1:4" ht="33.75" customHeight="1" x14ac:dyDescent="0.3">
      <c r="A7" s="24" t="s">
        <v>241</v>
      </c>
      <c r="B7" s="7" t="s">
        <v>242</v>
      </c>
      <c r="C7" s="25">
        <f>IF(TRIM(B7)="",0,LEN(TRIM(B7))-LEN(SUBSTITUTE(TRIM(B7)," ",""))+1)</f>
        <v>40</v>
      </c>
      <c r="D7" s="17" t="str">
        <f>IF(C7=0,"Trống",IF(C7&gt;60,"Quá 60 chữ","Đạt"))</f>
        <v>Đạt</v>
      </c>
    </row>
    <row r="8" spans="1:4" ht="33.75" customHeight="1" x14ac:dyDescent="0.3">
      <c r="A8" s="24" t="s">
        <v>243</v>
      </c>
      <c r="B8" s="7" t="s">
        <v>244</v>
      </c>
      <c r="C8" s="25">
        <f>IF(TRIM(B8)="",0,LEN(TRIM(B8))-LEN(SUBSTITUTE(TRIM(B8)," ",""))+1)</f>
        <v>30</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6640625" defaultRowHeight="14.4" x14ac:dyDescent="0.3"/>
  <cols>
    <col min="1" max="1" width="66" customWidth="1"/>
    <col min="2" max="3" width="14" customWidth="1"/>
  </cols>
  <sheetData>
    <row r="1" spans="1:3" ht="17.25" customHeight="1" x14ac:dyDescent="0.3">
      <c r="A1" s="1" t="s">
        <v>245</v>
      </c>
    </row>
    <row r="2" spans="1:3" ht="15" customHeight="1" x14ac:dyDescent="0.3">
      <c r="A2" s="2" t="s">
        <v>246</v>
      </c>
    </row>
    <row r="4" spans="1:3" ht="15" customHeight="1" x14ac:dyDescent="0.3">
      <c r="A4" s="9" t="s">
        <v>247</v>
      </c>
      <c r="B4" s="9" t="s">
        <v>248</v>
      </c>
      <c r="C4" s="9" t="s">
        <v>234</v>
      </c>
    </row>
    <row r="5" spans="1:3" ht="15" customHeight="1" x14ac:dyDescent="0.3">
      <c r="A5" s="10" t="s">
        <v>249</v>
      </c>
      <c r="B5" s="11">
        <f>COUNT('1_Danh sách việc'!M5:M14)</f>
        <v>7</v>
      </c>
      <c r="C5" s="11" t="str">
        <f>IF(B5&gt;=5,"Đạt","Xem lại")</f>
        <v>Đạt</v>
      </c>
    </row>
    <row r="6" spans="1:3" ht="15" customHeight="1" x14ac:dyDescent="0.3">
      <c r="A6" s="10" t="s">
        <v>250</v>
      </c>
      <c r="B6" s="11">
        <f>COUNTIFS('1_Danh sách việc'!O5:O14,"Thiếu",'1_Danh sách việc'!P5:P14,"&lt;&gt;Không làm")</f>
        <v>0</v>
      </c>
      <c r="C6" s="11" t="str">
        <f>IF(B5=0,"",IF(B6=0,"Đạt","Xem lại"))</f>
        <v>Đạt</v>
      </c>
    </row>
    <row r="7" spans="1:3" ht="15" customHeight="1" x14ac:dyDescent="0.3">
      <c r="A7" s="10" t="s">
        <v>251</v>
      </c>
      <c r="B7" s="11">
        <f>COUNTIF('2_Mức tự động'!M6:M8,"Có")</f>
        <v>3</v>
      </c>
      <c r="C7" s="11" t="str">
        <f>IF(B7&gt;=2,"Đạt","Xem lại")</f>
        <v>Đạt</v>
      </c>
    </row>
    <row r="8" spans="1:3" ht="15" customHeight="1" x14ac:dyDescent="0.3">
      <c r="A8" s="10" t="s">
        <v>252</v>
      </c>
      <c r="B8" s="11">
        <f>COUNTA('3_Bảng lộ trình'!B5:B12)</f>
        <v>8</v>
      </c>
      <c r="C8" s="11" t="str">
        <f>IF(B8=8,"Đạt","Xem lại")</f>
        <v>Đạt</v>
      </c>
    </row>
    <row r="9" spans="1:3" ht="15" customHeight="1" x14ac:dyDescent="0.3">
      <c r="A9" s="10" t="s">
        <v>253</v>
      </c>
      <c r="B9" s="11" t="str">
        <f>IF(AND(LEN('3_Bảng lộ trình'!B12)&gt;10,SUMPRODUCT(--ISNUMBER(SEARCH({"0","1","2","3","4","5","6","7","8","9"},'3_Bảng lộ trình'!B12)))&gt;0),"Có","Chưa")</f>
        <v>Có</v>
      </c>
      <c r="C9" s="11" t="str">
        <f>IF(B9="Có","Đạt","Xem lại")</f>
        <v>Đạt</v>
      </c>
    </row>
    <row r="10" spans="1:3" ht="15" customHeight="1" x14ac:dyDescent="0.3">
      <c r="A10" s="10" t="s">
        <v>254</v>
      </c>
      <c r="B10" s="11" t="str">
        <f>IF(AND(LEN('3_Bảng lộ trình'!B11)&gt;10,SUMPRODUCT(--ISNUMBER(SEARCH({"0","1","2","3","4","5","6","7","8","9"},'3_Bảng lộ trình'!B11)))&gt;0),"Có","Chưa")</f>
        <v>Có</v>
      </c>
      <c r="C10" s="11" t="str">
        <f>IF(B10="Có","Đạt","Xem lại")</f>
        <v>Đạt</v>
      </c>
    </row>
    <row r="11" spans="1:3" ht="15" customHeight="1" x14ac:dyDescent="0.3">
      <c r="A11" s="10" t="s">
        <v>255</v>
      </c>
      <c r="B11" s="11">
        <f>COUNTIF('5_Slide lãnh đạo'!D4:D8,"Đạt")</f>
        <v>5</v>
      </c>
      <c r="C11" s="11" t="str">
        <f>IF(B11=5,"Đạt","Xem lại")</f>
        <v>Đạt</v>
      </c>
    </row>
    <row r="12" spans="1:3" ht="15" customHeight="1" x14ac:dyDescent="0.3">
      <c r="A12" s="10" t="s">
        <v>256</v>
      </c>
      <c r="B12" s="11">
        <f>COUNTIF('2_Mức tự động'!L5:L8,"Đạt")</f>
        <v>2</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6640625" defaultRowHeight="14.4" x14ac:dyDescent="0.3"/>
  <cols>
    <col min="1" max="1" width="32" customWidth="1"/>
    <col min="2" max="2" width="30" customWidth="1"/>
    <col min="3" max="3" width="80" customWidth="1"/>
    <col min="4" max="4" width="40" customWidth="1"/>
  </cols>
  <sheetData>
    <row r="1" spans="1:4" ht="17.25" customHeight="1" x14ac:dyDescent="0.3">
      <c r="A1" s="1" t="s">
        <v>257</v>
      </c>
    </row>
    <row r="2" spans="1:4" ht="15" customHeight="1" x14ac:dyDescent="0.3">
      <c r="A2" s="2"/>
    </row>
    <row r="4" spans="1:4" ht="15" customHeight="1" x14ac:dyDescent="0.3">
      <c r="A4" s="9" t="s">
        <v>258</v>
      </c>
      <c r="B4" s="9" t="s">
        <v>259</v>
      </c>
      <c r="C4" s="9" t="s">
        <v>260</v>
      </c>
      <c r="D4" s="9" t="s">
        <v>261</v>
      </c>
    </row>
    <row r="5" spans="1:4" ht="15" customHeight="1" x14ac:dyDescent="0.3">
      <c r="A5" s="10" t="s">
        <v>262</v>
      </c>
      <c r="B5">
        <v>20</v>
      </c>
      <c r="C5" s="26" t="s">
        <v>263</v>
      </c>
      <c r="D5" s="27"/>
    </row>
    <row r="6" spans="1:4" ht="15" customHeight="1" x14ac:dyDescent="0.3">
      <c r="A6" s="10" t="s">
        <v>264</v>
      </c>
      <c r="B6">
        <v>20</v>
      </c>
      <c r="C6" s="26" t="s">
        <v>265</v>
      </c>
      <c r="D6" s="27"/>
    </row>
    <row r="7" spans="1:4" ht="15" customHeight="1" x14ac:dyDescent="0.3">
      <c r="A7" s="10" t="s">
        <v>266</v>
      </c>
      <c r="B7">
        <v>25</v>
      </c>
      <c r="C7" s="26" t="s">
        <v>267</v>
      </c>
      <c r="D7" s="27"/>
    </row>
    <row r="8" spans="1:4" ht="15" customHeight="1" x14ac:dyDescent="0.3">
      <c r="A8" s="10" t="s">
        <v>268</v>
      </c>
      <c r="B8">
        <v>15</v>
      </c>
      <c r="C8" s="26" t="s">
        <v>269</v>
      </c>
      <c r="D8" s="27"/>
    </row>
    <row r="9" spans="1:4" ht="15" customHeight="1" x14ac:dyDescent="0.3">
      <c r="A9" s="10" t="s">
        <v>270</v>
      </c>
      <c r="B9">
        <v>20</v>
      </c>
      <c r="C9" s="26" t="s">
        <v>271</v>
      </c>
      <c r="D9" s="27"/>
    </row>
    <row r="10" spans="1:4" ht="15" customHeight="1" x14ac:dyDescent="0.3">
      <c r="A10" s="8" t="s">
        <v>272</v>
      </c>
      <c r="B10">
        <f>SUM(B5:B9)</f>
        <v>100</v>
      </c>
      <c r="D10" s="11">
        <f>SUM(D5:D9)</f>
        <v>0</v>
      </c>
    </row>
    <row r="12" spans="1:4" ht="15" customHeight="1" x14ac:dyDescent="0.3">
      <c r="A12" s="8"/>
      <c r="D12" s="27"/>
    </row>
    <row r="15" spans="1:4" ht="15" customHeight="1" x14ac:dyDescent="0.3">
      <c r="A15" s="28" t="s">
        <v>273</v>
      </c>
    </row>
    <row r="16" spans="1:4" ht="15" customHeight="1" x14ac:dyDescent="0.3">
      <c r="A16" s="9" t="s">
        <v>258</v>
      </c>
      <c r="B16" s="9" t="s">
        <v>274</v>
      </c>
      <c r="C16" s="9" t="s">
        <v>275</v>
      </c>
      <c r="D16" s="9" t="s">
        <v>276</v>
      </c>
    </row>
    <row r="17" spans="1:4" ht="45.75" customHeight="1" x14ac:dyDescent="0.3">
      <c r="A17" s="29" t="s">
        <v>277</v>
      </c>
      <c r="B17" s="30" t="s">
        <v>278</v>
      </c>
      <c r="C17" s="30" t="s">
        <v>279</v>
      </c>
      <c r="D17" s="30" t="s">
        <v>280</v>
      </c>
    </row>
    <row r="18" spans="1:4" ht="45.75" customHeight="1" x14ac:dyDescent="0.3">
      <c r="A18" s="29" t="s">
        <v>281</v>
      </c>
      <c r="B18" s="30" t="s">
        <v>282</v>
      </c>
      <c r="C18" s="30" t="s">
        <v>283</v>
      </c>
      <c r="D18" s="30" t="s">
        <v>284</v>
      </c>
    </row>
    <row r="19" spans="1:4" ht="45.75" customHeight="1" x14ac:dyDescent="0.3">
      <c r="A19" s="29" t="s">
        <v>285</v>
      </c>
      <c r="B19" s="30" t="s">
        <v>286</v>
      </c>
      <c r="C19" s="30" t="s">
        <v>287</v>
      </c>
      <c r="D19" s="30" t="s">
        <v>288</v>
      </c>
    </row>
    <row r="20" spans="1:4" ht="45.75" customHeight="1" x14ac:dyDescent="0.3">
      <c r="A20" s="29" t="s">
        <v>289</v>
      </c>
      <c r="B20" s="30" t="s">
        <v>290</v>
      </c>
      <c r="C20" s="30" t="s">
        <v>291</v>
      </c>
      <c r="D20" s="30" t="s">
        <v>292</v>
      </c>
    </row>
    <row r="22" spans="1:4" ht="15" customHeight="1" x14ac:dyDescent="0.3">
      <c r="A22" s="20" t="s">
        <v>293</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dlvanh1414</cp:lastModifiedBy>
  <cp:revision>0</cp:revision>
  <dcterms:created xsi:type="dcterms:W3CDTF">2026-10-04T05:24:07Z</dcterms:created>
  <dcterms:modified xsi:type="dcterms:W3CDTF">2026-10-16T10:06:05Z</dcterms:modified>
  <dc:language>en-US</dc:language>
</cp:coreProperties>
</file>